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so/Local Items/Uni/Y3/BEng Project/Professional Portfolio/"/>
    </mc:Choice>
  </mc:AlternateContent>
  <xr:revisionPtr revIDLastSave="0" documentId="13_ncr:1_{D06214C8-D8BD-CA49-94D1-E54ADBD4E14B}" xr6:coauthVersionLast="47" xr6:coauthVersionMax="47" xr10:uidLastSave="{00000000-0000-0000-0000-000000000000}"/>
  <bookViews>
    <workbookView xWindow="0" yWindow="0" windowWidth="28800" windowHeight="18000" xr2:uid="{5B57E346-0E71-449A-9D9A-B8E7C7FB61B4}"/>
  </bookViews>
  <sheets>
    <sheet name="audit" sheetId="1" r:id="rId1"/>
    <sheet name="Example" sheetId="6" r:id="rId2"/>
    <sheet name="Sheet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7" i="1" l="1"/>
  <c r="G27" i="1" s="1"/>
  <c r="F27" i="1"/>
  <c r="G35" i="1"/>
  <c r="G38" i="1"/>
  <c r="G39" i="1"/>
  <c r="G40" i="1"/>
  <c r="G41" i="1"/>
  <c r="G21" i="6"/>
  <c r="G33" i="6"/>
  <c r="F27" i="6"/>
  <c r="E27" i="6"/>
  <c r="G27" i="6" s="1"/>
  <c r="F26" i="6"/>
  <c r="E26" i="6"/>
  <c r="G26" i="6" s="1"/>
  <c r="F25" i="6"/>
  <c r="E25" i="6"/>
  <c r="G25" i="6" s="1"/>
  <c r="F24" i="6"/>
  <c r="E24" i="6"/>
  <c r="G24" i="6" s="1"/>
  <c r="F23" i="6"/>
  <c r="E23" i="6"/>
  <c r="G23" i="6" s="1"/>
  <c r="F22" i="6"/>
  <c r="E22" i="6"/>
  <c r="G22" i="6" s="1"/>
  <c r="F21" i="6"/>
  <c r="E21" i="6"/>
  <c r="F20" i="6"/>
  <c r="E20" i="6"/>
  <c r="F45" i="6"/>
  <c r="E45" i="6"/>
  <c r="F44" i="6"/>
  <c r="G44" i="6" s="1"/>
  <c r="E44" i="6"/>
  <c r="F30" i="6"/>
  <c r="G30" i="6" s="1"/>
  <c r="E30" i="6"/>
  <c r="F43" i="6"/>
  <c r="E43" i="6"/>
  <c r="F42" i="6"/>
  <c r="E42" i="6"/>
  <c r="F19" i="6"/>
  <c r="G19" i="6" s="1"/>
  <c r="E19" i="6"/>
  <c r="F41" i="6"/>
  <c r="G41" i="6" s="1"/>
  <c r="E41" i="6"/>
  <c r="F29" i="6"/>
  <c r="E29" i="6"/>
  <c r="F28" i="6"/>
  <c r="E28" i="6"/>
  <c r="F18" i="6"/>
  <c r="G18" i="6" s="1"/>
  <c r="E18" i="6"/>
  <c r="F17" i="6"/>
  <c r="G17" i="6" s="1"/>
  <c r="E17" i="6"/>
  <c r="F16" i="6"/>
  <c r="G16" i="6" s="1"/>
  <c r="E16" i="6"/>
  <c r="F15" i="6"/>
  <c r="E15" i="6"/>
  <c r="F37" i="6"/>
  <c r="G37" i="6" s="1"/>
  <c r="E37" i="6"/>
  <c r="F36" i="6"/>
  <c r="G36" i="6" s="1"/>
  <c r="E36" i="6"/>
  <c r="F40" i="6"/>
  <c r="G40" i="6" s="1"/>
  <c r="E40" i="6"/>
  <c r="F14" i="6"/>
  <c r="E14" i="6"/>
  <c r="F35" i="6"/>
  <c r="G35" i="6" s="1"/>
  <c r="E35" i="6"/>
  <c r="F13" i="6"/>
  <c r="G13" i="6" s="1"/>
  <c r="E13" i="6"/>
  <c r="F39" i="6"/>
  <c r="G39" i="6" s="1"/>
  <c r="E39" i="6"/>
  <c r="F12" i="6"/>
  <c r="E12" i="6"/>
  <c r="F34" i="6"/>
  <c r="G34" i="6" s="1"/>
  <c r="E34" i="6"/>
  <c r="F11" i="6"/>
  <c r="E11" i="6"/>
  <c r="F33" i="6"/>
  <c r="E33" i="6"/>
  <c r="F10" i="6"/>
  <c r="E10" i="6"/>
  <c r="G10" i="6" s="1"/>
  <c r="F9" i="6"/>
  <c r="E9" i="6"/>
  <c r="G9" i="6" s="1"/>
  <c r="F32" i="6"/>
  <c r="E32" i="6"/>
  <c r="G32" i="6" s="1"/>
  <c r="F8" i="6"/>
  <c r="E8" i="6"/>
  <c r="G8" i="6" s="1"/>
  <c r="F31" i="6"/>
  <c r="E31" i="6"/>
  <c r="G31" i="6" s="1"/>
  <c r="F7" i="6"/>
  <c r="E7" i="6"/>
  <c r="G7" i="6" s="1"/>
  <c r="F38" i="6"/>
  <c r="E38" i="6"/>
  <c r="F41" i="1"/>
  <c r="F40" i="1"/>
  <c r="F39" i="1"/>
  <c r="F38" i="1"/>
  <c r="F37" i="1"/>
  <c r="F36" i="1"/>
  <c r="F35" i="1"/>
  <c r="F34" i="1"/>
  <c r="F33" i="1"/>
  <c r="F32" i="1"/>
  <c r="F31" i="1"/>
  <c r="F30" i="1"/>
  <c r="G30" i="1" s="1"/>
  <c r="F29" i="1"/>
  <c r="F28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E41" i="1"/>
  <c r="E40" i="1"/>
  <c r="E39" i="1"/>
  <c r="E38" i="1"/>
  <c r="E37" i="1"/>
  <c r="E36" i="1"/>
  <c r="E35" i="1"/>
  <c r="E34" i="1"/>
  <c r="E33" i="1"/>
  <c r="E32" i="1"/>
  <c r="E31" i="1"/>
  <c r="G31" i="1" s="1"/>
  <c r="E30" i="1"/>
  <c r="E29" i="1"/>
  <c r="E28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G9" i="1" s="1"/>
  <c r="E8" i="1"/>
  <c r="E7" i="1"/>
  <c r="E6" i="1"/>
  <c r="E5" i="1"/>
  <c r="E4" i="1"/>
  <c r="E3" i="1"/>
  <c r="G36" i="1" l="1"/>
  <c r="G37" i="1"/>
  <c r="G5" i="1"/>
  <c r="G34" i="1"/>
  <c r="G33" i="1"/>
  <c r="G32" i="1"/>
  <c r="G29" i="1"/>
  <c r="G28" i="1"/>
  <c r="G26" i="1"/>
  <c r="G25" i="1"/>
  <c r="G24" i="1"/>
  <c r="G23" i="1"/>
  <c r="G22" i="1"/>
  <c r="G21" i="1"/>
  <c r="G20" i="1"/>
  <c r="G19" i="1"/>
  <c r="G18" i="1"/>
  <c r="G12" i="1"/>
  <c r="G11" i="1"/>
  <c r="G10" i="1"/>
  <c r="G8" i="1"/>
  <c r="G15" i="1"/>
  <c r="G14" i="1"/>
  <c r="G13" i="1"/>
  <c r="G7" i="1"/>
  <c r="G6" i="1"/>
  <c r="G4" i="1"/>
  <c r="G3" i="1"/>
  <c r="G16" i="1"/>
  <c r="G17" i="1"/>
  <c r="G15" i="6"/>
  <c r="G12" i="6"/>
  <c r="G28" i="6"/>
  <c r="G45" i="6"/>
  <c r="G29" i="6"/>
  <c r="G43" i="6"/>
  <c r="G20" i="6"/>
  <c r="G42" i="6"/>
  <c r="G14" i="6"/>
  <c r="G11" i="6"/>
  <c r="G38" i="6"/>
</calcChain>
</file>

<file path=xl/sharedStrings.xml><?xml version="1.0" encoding="utf-8"?>
<sst xmlns="http://schemas.openxmlformats.org/spreadsheetml/2006/main" count="241" uniqueCount="71">
  <si>
    <t>Skill</t>
  </si>
  <si>
    <t>Action plan priority score</t>
  </si>
  <si>
    <t>Why chosen for development</t>
  </si>
  <si>
    <t>Proposed action plan</t>
  </si>
  <si>
    <t>Uncertainty Analysis</t>
  </si>
  <si>
    <t>Advanced Maths</t>
  </si>
  <si>
    <t>Statistical Methods</t>
  </si>
  <si>
    <t>Machine learning</t>
  </si>
  <si>
    <t>Matlab/Simulink/Python</t>
  </si>
  <si>
    <t>CFD (Fluent or other)</t>
  </si>
  <si>
    <t>FEA (Abaqus or other)</t>
  </si>
  <si>
    <t>Specialist programming (say which)</t>
  </si>
  <si>
    <t>Specialist simulation (say which)</t>
  </si>
  <si>
    <t>Experimental design</t>
  </si>
  <si>
    <t>Ethics review for experiments involving people/human data</t>
  </si>
  <si>
    <t>Project risk assessment, mitigation and management</t>
  </si>
  <si>
    <t>Health and safety risk assessment</t>
  </si>
  <si>
    <t>Data risk and security</t>
  </si>
  <si>
    <t>CAD skills (CATIA/Solidworks/other, say which</t>
  </si>
  <si>
    <t>Survey/questionnaire design</t>
  </si>
  <si>
    <t>Advanced Excel</t>
  </si>
  <si>
    <t>Labview</t>
  </si>
  <si>
    <t>CAM proficiency</t>
  </si>
  <si>
    <t>Time-management</t>
  </si>
  <si>
    <t>Budget management</t>
  </si>
  <si>
    <t>Advanced Word</t>
  </si>
  <si>
    <t>Networking</t>
  </si>
  <si>
    <t>Oral presentation</t>
  </si>
  <si>
    <t>Data presentation/visualisation</t>
  </si>
  <si>
    <t>Graphical tools (say which)</t>
  </si>
  <si>
    <t>Other skills</t>
  </si>
  <si>
    <t>1.</t>
  </si>
  <si>
    <t>2.</t>
  </si>
  <si>
    <t>EDI awareness</t>
  </si>
  <si>
    <t>3D printing software/hardware</t>
  </si>
  <si>
    <t>Standard/specialist instrumentation (say which)</t>
  </si>
  <si>
    <t>Standard/specialist equipment (say which)</t>
  </si>
  <si>
    <t>low</t>
  </si>
  <si>
    <t>medium</t>
  </si>
  <si>
    <t>high</t>
  </si>
  <si>
    <t xml:space="preserve">Relevance
</t>
  </si>
  <si>
    <t>Relevance score</t>
  </si>
  <si>
    <t>Confidence in skill</t>
  </si>
  <si>
    <t>Confidence score</t>
  </si>
  <si>
    <t>Statistical Methods, including design of experiments</t>
  </si>
  <si>
    <t>Literature review and information gathering, using reliable info sources</t>
  </si>
  <si>
    <t>Experimental design, including statistical approaches such as "design of experiments"</t>
  </si>
  <si>
    <t>Technical/professional writing</t>
  </si>
  <si>
    <t>This example is for an imaginary materials related project where the student needs to learn some lab techniques, will generate and analyse some data</t>
  </si>
  <si>
    <t>This student also wants to improve their networking skills as they feel this will benefit their future career</t>
  </si>
  <si>
    <t>not applicable</t>
  </si>
  <si>
    <t>Attend and document all the proposed training sessions. Ask researchers if anything is unclear. Read up on the specialist kit I am required to use.</t>
  </si>
  <si>
    <t>Using the specialist instrumentation in the lab is very important for my project</t>
  </si>
  <si>
    <t>Using the specialist microscopes in the lab is very important for my project</t>
  </si>
  <si>
    <t>I don't think I am very good at networking and I feel I will need to be for my future career propects.</t>
  </si>
  <si>
    <t>Join a society where talking to others is part of what we do.  Aim to make at least 4 new connections with people at Uni in the next 3 months</t>
  </si>
  <si>
    <t>I'm going to need to design the experiments I do in terms  of test matrix etc</t>
  </si>
  <si>
    <t>Read up on experimental design - source and document online material/books etc. Make a full list of variables I might be interested in. Produce a proposal for my test matrix and discuss with other researchers.</t>
  </si>
  <si>
    <t>I don't feel confident in this area even after the lectures in the module</t>
  </si>
  <si>
    <t>I'm going to go through all the online learning resources on the library service website. I'm also going to look for some self-learning material online</t>
  </si>
  <si>
    <t>2</t>
  </si>
  <si>
    <t>The program, expected to be the main part of the project, will be written in Python</t>
  </si>
  <si>
    <t>Engage in frequent events of public speaking in front of small crowds within societies; getting used to presenting and discussing points with an audience.</t>
  </si>
  <si>
    <t>A presentation will be a key part of the project's scope. Progress will need to be expressed clearly in front of an audience with questions being answered sufficiently.</t>
  </si>
  <si>
    <t xml:space="preserve">Develop skills in python libraries such as MatPlotLib, NumPy and Pandas to aid in data visualisation. </t>
  </si>
  <si>
    <t>Use tutorials from scikit-learn to develop skills in machine learning and further understand the theory behind such methods.</t>
  </si>
  <si>
    <t>Further develop and refamiliarise skills in Python using (online) resources such as w3schools, geeksforgeeks and datacamp.</t>
  </si>
  <si>
    <t>The project is mainly based on machine learning. A good foundation in knowledge is essential for aspects such as literature reviews and programming.</t>
  </si>
  <si>
    <t>Although the project can be expressed simply in a few words, showing relevant data in a manner that is easy for the reader and audience to process is essential.</t>
  </si>
  <si>
    <t>Create a realistic timescale with proposed deadlines and milestone check-ins with a supervisor to stick to and keep a sense of responsibility throughout the project.</t>
  </si>
  <si>
    <t>Time management is a crucial aspect of allowing a project to reach a satisfactory completion and uphold all standards expected of an engineer.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</si>
</sst>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3" borderId="1" xfId="0" applyFill="1" applyBorder="1"/>
    <xf numFmtId="0" fontId="0" fillId="3" borderId="1" xfId="0" applyFill="1" applyBorder="1" applyAlignment="1">
      <alignment wrapText="1"/>
    </xf>
    <xf numFmtId="49" fontId="0" fillId="3" borderId="1" xfId="0" applyNumberFormat="1" applyFill="1" applyBorder="1"/>
    <xf numFmtId="0" fontId="1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left" vertical="center"/>
    </xf>
    <xf numFmtId="49" fontId="0" fillId="2" borderId="1" xfId="0" applyNumberFormat="1" applyFill="1" applyBorder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48E6D-4FBE-4E16-AE41-B92D122B73DE}">
  <dimension ref="B2:I41"/>
  <sheetViews>
    <sheetView tabSelected="1" zoomScale="93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H12" sqref="H12"/>
    </sheetView>
  </sheetViews>
  <sheetFormatPr baseColWidth="10" defaultColWidth="8.83203125" defaultRowHeight="15" x14ac:dyDescent="0.2"/>
  <cols>
    <col min="2" max="2" width="55.6640625" style="17" customWidth="1"/>
    <col min="3" max="6" width="11.5" style="6" customWidth="1"/>
    <col min="7" max="7" width="9.1640625" style="6"/>
    <col min="8" max="8" width="65.1640625" customWidth="1"/>
    <col min="9" max="9" width="71" customWidth="1"/>
  </cols>
  <sheetData>
    <row r="2" spans="2:9" ht="64" x14ac:dyDescent="0.2">
      <c r="B2" s="9" t="s">
        <v>0</v>
      </c>
      <c r="C2" s="10" t="s">
        <v>40</v>
      </c>
      <c r="D2" s="10" t="s">
        <v>42</v>
      </c>
      <c r="E2" s="10" t="s">
        <v>41</v>
      </c>
      <c r="F2" s="10" t="s">
        <v>43</v>
      </c>
      <c r="G2" s="10" t="s">
        <v>1</v>
      </c>
      <c r="H2" s="10" t="s">
        <v>2</v>
      </c>
      <c r="I2" s="10" t="s">
        <v>3</v>
      </c>
    </row>
    <row r="3" spans="2:9" x14ac:dyDescent="0.2">
      <c r="B3" s="13" t="s">
        <v>4</v>
      </c>
      <c r="C3" s="7" t="s">
        <v>39</v>
      </c>
      <c r="D3" s="7" t="s">
        <v>39</v>
      </c>
      <c r="E3" s="7">
        <f>IF(C3="low",3,(IF(C3="medium",2,(IF(C3="high",1,"0")))))</f>
        <v>1</v>
      </c>
      <c r="F3" s="7">
        <f>IF(D3="low",1,(IF(D3="medium",2,(IF(D3="high",3,"0")))))</f>
        <v>3</v>
      </c>
      <c r="G3" s="7">
        <f>E3*F3</f>
        <v>3</v>
      </c>
      <c r="H3" s="11"/>
      <c r="I3" s="11"/>
    </row>
    <row r="4" spans="2:9" x14ac:dyDescent="0.2">
      <c r="B4" s="13" t="s">
        <v>5</v>
      </c>
      <c r="C4" s="7" t="s">
        <v>38</v>
      </c>
      <c r="D4" s="7" t="s">
        <v>39</v>
      </c>
      <c r="E4" s="7">
        <f t="shared" ref="E4:E41" si="0">IF(C4="low",3,(IF(C4="medium",2,(IF(C4="high",1,"0")))))</f>
        <v>2</v>
      </c>
      <c r="F4" s="7">
        <f t="shared" ref="F4:F41" si="1">IF(D4="low",1,(IF(D4="medium",2,(IF(D4="high",3,"0")))))</f>
        <v>3</v>
      </c>
      <c r="G4" s="7">
        <f t="shared" ref="G4:G41" si="2">E4*F4</f>
        <v>6</v>
      </c>
      <c r="H4" s="11"/>
      <c r="I4" s="11"/>
    </row>
    <row r="5" spans="2:9" x14ac:dyDescent="0.2">
      <c r="B5" s="13" t="s">
        <v>6</v>
      </c>
      <c r="C5" s="7" t="s">
        <v>38</v>
      </c>
      <c r="D5" s="7" t="s">
        <v>38</v>
      </c>
      <c r="E5" s="7">
        <f t="shared" si="0"/>
        <v>2</v>
      </c>
      <c r="F5" s="7">
        <f t="shared" si="1"/>
        <v>2</v>
      </c>
      <c r="G5" s="7">
        <f t="shared" si="2"/>
        <v>4</v>
      </c>
      <c r="H5" s="11"/>
      <c r="I5" s="11"/>
    </row>
    <row r="6" spans="2:9" ht="35" customHeight="1" x14ac:dyDescent="0.2">
      <c r="B6" s="13" t="s">
        <v>7</v>
      </c>
      <c r="C6" s="7" t="s">
        <v>39</v>
      </c>
      <c r="D6" s="7" t="s">
        <v>38</v>
      </c>
      <c r="E6" s="7">
        <f t="shared" si="0"/>
        <v>1</v>
      </c>
      <c r="F6" s="7">
        <f t="shared" si="1"/>
        <v>2</v>
      </c>
      <c r="G6" s="7">
        <f t="shared" si="2"/>
        <v>2</v>
      </c>
      <c r="H6" s="12" t="s">
        <v>67</v>
      </c>
      <c r="I6" s="12" t="s">
        <v>65</v>
      </c>
    </row>
    <row r="7" spans="2:9" ht="35" customHeight="1" x14ac:dyDescent="0.2">
      <c r="B7" s="13" t="s">
        <v>8</v>
      </c>
      <c r="C7" s="7" t="s">
        <v>39</v>
      </c>
      <c r="D7" s="7" t="s">
        <v>38</v>
      </c>
      <c r="E7" s="7">
        <f t="shared" si="0"/>
        <v>1</v>
      </c>
      <c r="F7" s="7">
        <f t="shared" si="1"/>
        <v>2</v>
      </c>
      <c r="G7" s="7">
        <f t="shared" si="2"/>
        <v>2</v>
      </c>
      <c r="H7" s="11" t="s">
        <v>61</v>
      </c>
      <c r="I7" s="12" t="s">
        <v>66</v>
      </c>
    </row>
    <row r="8" spans="2:9" x14ac:dyDescent="0.2">
      <c r="B8" s="13" t="s">
        <v>9</v>
      </c>
      <c r="C8" s="7" t="s">
        <v>37</v>
      </c>
      <c r="D8" s="7" t="s">
        <v>37</v>
      </c>
      <c r="E8" s="7">
        <f t="shared" si="0"/>
        <v>3</v>
      </c>
      <c r="F8" s="7">
        <f t="shared" si="1"/>
        <v>1</v>
      </c>
      <c r="G8" s="7">
        <f t="shared" si="2"/>
        <v>3</v>
      </c>
      <c r="H8" s="11"/>
      <c r="I8" s="11"/>
    </row>
    <row r="9" spans="2:9" x14ac:dyDescent="0.2">
      <c r="B9" s="13" t="s">
        <v>10</v>
      </c>
      <c r="C9" s="7" t="s">
        <v>37</v>
      </c>
      <c r="D9" s="7" t="s">
        <v>37</v>
      </c>
      <c r="E9" s="7">
        <f t="shared" si="0"/>
        <v>3</v>
      </c>
      <c r="F9" s="7">
        <f t="shared" si="1"/>
        <v>1</v>
      </c>
      <c r="G9" s="7">
        <f t="shared" si="2"/>
        <v>3</v>
      </c>
      <c r="H9" s="11"/>
      <c r="I9" s="11"/>
    </row>
    <row r="10" spans="2:9" x14ac:dyDescent="0.2">
      <c r="B10" s="13" t="s">
        <v>11</v>
      </c>
      <c r="C10" s="7" t="s">
        <v>37</v>
      </c>
      <c r="D10" s="7" t="s">
        <v>50</v>
      </c>
      <c r="E10" s="7">
        <f t="shared" si="0"/>
        <v>3</v>
      </c>
      <c r="F10" s="7" t="str">
        <f t="shared" si="1"/>
        <v>0</v>
      </c>
      <c r="G10" s="7">
        <f t="shared" si="2"/>
        <v>0</v>
      </c>
      <c r="H10" s="11"/>
      <c r="I10" s="11"/>
    </row>
    <row r="11" spans="2:9" x14ac:dyDescent="0.2">
      <c r="B11" s="13" t="s">
        <v>12</v>
      </c>
      <c r="C11" s="7" t="s">
        <v>37</v>
      </c>
      <c r="D11" s="7" t="s">
        <v>50</v>
      </c>
      <c r="E11" s="7">
        <f t="shared" si="0"/>
        <v>3</v>
      </c>
      <c r="F11" s="7" t="str">
        <f t="shared" si="1"/>
        <v>0</v>
      </c>
      <c r="G11" s="7">
        <f t="shared" si="2"/>
        <v>0</v>
      </c>
      <c r="H11" s="11"/>
      <c r="I11" s="11"/>
    </row>
    <row r="12" spans="2:9" ht="32" x14ac:dyDescent="0.2">
      <c r="B12" s="14" t="s">
        <v>46</v>
      </c>
      <c r="C12" s="7" t="s">
        <v>37</v>
      </c>
      <c r="D12" s="7" t="s">
        <v>38</v>
      </c>
      <c r="E12" s="7">
        <f t="shared" si="0"/>
        <v>3</v>
      </c>
      <c r="F12" s="7">
        <f t="shared" si="1"/>
        <v>2</v>
      </c>
      <c r="G12" s="7">
        <f t="shared" si="2"/>
        <v>6</v>
      </c>
      <c r="H12" s="11"/>
      <c r="I12" s="11"/>
    </row>
    <row r="13" spans="2:9" x14ac:dyDescent="0.2">
      <c r="B13" s="13" t="s">
        <v>19</v>
      </c>
      <c r="C13" s="7" t="s">
        <v>37</v>
      </c>
      <c r="D13" s="7" t="s">
        <v>39</v>
      </c>
      <c r="E13" s="7">
        <f t="shared" si="0"/>
        <v>3</v>
      </c>
      <c r="F13" s="7">
        <f t="shared" si="1"/>
        <v>3</v>
      </c>
      <c r="G13" s="7">
        <f t="shared" si="2"/>
        <v>9</v>
      </c>
      <c r="H13" s="11"/>
      <c r="I13" s="11"/>
    </row>
    <row r="14" spans="2:9" x14ac:dyDescent="0.2">
      <c r="B14" s="13" t="s">
        <v>20</v>
      </c>
      <c r="C14" s="7" t="s">
        <v>37</v>
      </c>
      <c r="D14" s="7" t="s">
        <v>39</v>
      </c>
      <c r="E14" s="7">
        <f t="shared" si="0"/>
        <v>3</v>
      </c>
      <c r="F14" s="7">
        <f t="shared" si="1"/>
        <v>3</v>
      </c>
      <c r="G14" s="7">
        <f t="shared" si="2"/>
        <v>9</v>
      </c>
      <c r="H14" s="11"/>
      <c r="I14" s="11"/>
    </row>
    <row r="15" spans="2:9" x14ac:dyDescent="0.2">
      <c r="B15" s="13" t="s">
        <v>21</v>
      </c>
      <c r="C15" s="7" t="s">
        <v>37</v>
      </c>
      <c r="D15" s="7" t="s">
        <v>37</v>
      </c>
      <c r="E15" s="7">
        <f t="shared" si="0"/>
        <v>3</v>
      </c>
      <c r="F15" s="7">
        <f t="shared" si="1"/>
        <v>1</v>
      </c>
      <c r="G15" s="7">
        <f t="shared" si="2"/>
        <v>3</v>
      </c>
      <c r="H15" s="11"/>
      <c r="I15" s="11"/>
    </row>
    <row r="16" spans="2:9" ht="16" x14ac:dyDescent="0.2">
      <c r="B16" s="14" t="s">
        <v>45</v>
      </c>
      <c r="C16" s="7" t="s">
        <v>39</v>
      </c>
      <c r="D16" s="7" t="s">
        <v>39</v>
      </c>
      <c r="E16" s="7">
        <f t="shared" si="0"/>
        <v>1</v>
      </c>
      <c r="F16" s="7">
        <f t="shared" si="1"/>
        <v>3</v>
      </c>
      <c r="G16" s="7">
        <f t="shared" si="2"/>
        <v>3</v>
      </c>
      <c r="H16" s="11"/>
      <c r="I16" s="11"/>
    </row>
    <row r="17" spans="2:9" x14ac:dyDescent="0.2">
      <c r="B17" s="13" t="s">
        <v>14</v>
      </c>
      <c r="C17" s="7" t="s">
        <v>37</v>
      </c>
      <c r="D17" s="7" t="s">
        <v>38</v>
      </c>
      <c r="E17" s="7">
        <f t="shared" si="0"/>
        <v>3</v>
      </c>
      <c r="F17" s="7">
        <f t="shared" si="1"/>
        <v>2</v>
      </c>
      <c r="G17" s="7">
        <f t="shared" si="2"/>
        <v>6</v>
      </c>
      <c r="H17" s="11"/>
      <c r="I17" s="11"/>
    </row>
    <row r="18" spans="2:9" x14ac:dyDescent="0.2">
      <c r="B18" s="13" t="s">
        <v>15</v>
      </c>
      <c r="C18" s="7" t="s">
        <v>38</v>
      </c>
      <c r="D18" s="7" t="s">
        <v>38</v>
      </c>
      <c r="E18" s="7">
        <f t="shared" si="0"/>
        <v>2</v>
      </c>
      <c r="F18" s="7">
        <f t="shared" si="1"/>
        <v>2</v>
      </c>
      <c r="G18" s="7">
        <f t="shared" si="2"/>
        <v>4</v>
      </c>
      <c r="H18" s="11"/>
      <c r="I18" s="11"/>
    </row>
    <row r="19" spans="2:9" x14ac:dyDescent="0.2">
      <c r="B19" s="13" t="s">
        <v>16</v>
      </c>
      <c r="C19" s="7" t="s">
        <v>38</v>
      </c>
      <c r="D19" s="7" t="s">
        <v>38</v>
      </c>
      <c r="E19" s="7">
        <f t="shared" si="0"/>
        <v>2</v>
      </c>
      <c r="F19" s="7">
        <f t="shared" si="1"/>
        <v>2</v>
      </c>
      <c r="G19" s="7">
        <f t="shared" si="2"/>
        <v>4</v>
      </c>
      <c r="H19" s="11"/>
      <c r="I19" s="11"/>
    </row>
    <row r="20" spans="2:9" x14ac:dyDescent="0.2">
      <c r="B20" s="13" t="s">
        <v>17</v>
      </c>
      <c r="C20" s="7" t="s">
        <v>38</v>
      </c>
      <c r="D20" s="7" t="s">
        <v>39</v>
      </c>
      <c r="E20" s="7">
        <f t="shared" si="0"/>
        <v>2</v>
      </c>
      <c r="F20" s="7">
        <f t="shared" si="1"/>
        <v>3</v>
      </c>
      <c r="G20" s="7">
        <f t="shared" si="2"/>
        <v>6</v>
      </c>
      <c r="H20" s="11"/>
      <c r="I20" s="11"/>
    </row>
    <row r="21" spans="2:9" x14ac:dyDescent="0.2">
      <c r="B21" s="13" t="s">
        <v>33</v>
      </c>
      <c r="C21" s="7" t="s">
        <v>38</v>
      </c>
      <c r="D21" s="7" t="s">
        <v>39</v>
      </c>
      <c r="E21" s="7">
        <f t="shared" si="0"/>
        <v>2</v>
      </c>
      <c r="F21" s="7">
        <f t="shared" si="1"/>
        <v>3</v>
      </c>
      <c r="G21" s="7">
        <f t="shared" si="2"/>
        <v>6</v>
      </c>
      <c r="H21" s="11"/>
      <c r="I21" s="11"/>
    </row>
    <row r="22" spans="2:9" x14ac:dyDescent="0.2">
      <c r="B22" s="13" t="s">
        <v>18</v>
      </c>
      <c r="C22" s="7" t="s">
        <v>37</v>
      </c>
      <c r="D22" s="7" t="s">
        <v>38</v>
      </c>
      <c r="E22" s="7">
        <f t="shared" si="0"/>
        <v>3</v>
      </c>
      <c r="F22" s="7">
        <f t="shared" si="1"/>
        <v>2</v>
      </c>
      <c r="G22" s="7">
        <f t="shared" si="2"/>
        <v>6</v>
      </c>
      <c r="H22" s="11"/>
      <c r="I22" s="11"/>
    </row>
    <row r="23" spans="2:9" x14ac:dyDescent="0.2">
      <c r="B23" s="13" t="s">
        <v>22</v>
      </c>
      <c r="C23" s="7" t="s">
        <v>37</v>
      </c>
      <c r="D23" s="7" t="s">
        <v>38</v>
      </c>
      <c r="E23" s="7">
        <f t="shared" si="0"/>
        <v>3</v>
      </c>
      <c r="F23" s="7">
        <f t="shared" si="1"/>
        <v>2</v>
      </c>
      <c r="G23" s="7">
        <f t="shared" si="2"/>
        <v>6</v>
      </c>
      <c r="H23" s="11"/>
      <c r="I23" s="11"/>
    </row>
    <row r="24" spans="2:9" x14ac:dyDescent="0.2">
      <c r="B24" s="13" t="s">
        <v>34</v>
      </c>
      <c r="C24" s="7" t="s">
        <v>37</v>
      </c>
      <c r="D24" s="7" t="s">
        <v>39</v>
      </c>
      <c r="E24" s="7">
        <f t="shared" si="0"/>
        <v>3</v>
      </c>
      <c r="F24" s="7">
        <f t="shared" si="1"/>
        <v>3</v>
      </c>
      <c r="G24" s="7">
        <f t="shared" si="2"/>
        <v>9</v>
      </c>
      <c r="H24" s="11"/>
      <c r="I24" s="11"/>
    </row>
    <row r="25" spans="2:9" x14ac:dyDescent="0.2">
      <c r="B25" s="13" t="s">
        <v>36</v>
      </c>
      <c r="C25" s="7" t="s">
        <v>37</v>
      </c>
      <c r="D25" s="7" t="s">
        <v>50</v>
      </c>
      <c r="E25" s="7">
        <f t="shared" si="0"/>
        <v>3</v>
      </c>
      <c r="F25" s="7" t="str">
        <f t="shared" si="1"/>
        <v>0</v>
      </c>
      <c r="G25" s="7">
        <f t="shared" si="2"/>
        <v>0</v>
      </c>
      <c r="H25" s="11"/>
      <c r="I25" s="11"/>
    </row>
    <row r="26" spans="2:9" x14ac:dyDescent="0.2">
      <c r="B26" s="13" t="s">
        <v>35</v>
      </c>
      <c r="C26" s="7" t="s">
        <v>37</v>
      </c>
      <c r="D26" s="7" t="s">
        <v>50</v>
      </c>
      <c r="E26" s="7">
        <f t="shared" si="0"/>
        <v>3</v>
      </c>
      <c r="F26" s="7" t="str">
        <f t="shared" si="1"/>
        <v>0</v>
      </c>
      <c r="G26" s="7">
        <f t="shared" si="2"/>
        <v>0</v>
      </c>
      <c r="H26" s="11"/>
      <c r="I26" s="11"/>
    </row>
    <row r="27" spans="2:9" ht="35" customHeight="1" x14ac:dyDescent="0.2">
      <c r="B27" s="13" t="s">
        <v>23</v>
      </c>
      <c r="C27" s="7" t="s">
        <v>39</v>
      </c>
      <c r="D27" s="7" t="s">
        <v>38</v>
      </c>
      <c r="E27" s="7">
        <f t="shared" si="0"/>
        <v>1</v>
      </c>
      <c r="F27" s="7">
        <f t="shared" si="1"/>
        <v>2</v>
      </c>
      <c r="G27" s="7">
        <f t="shared" si="2"/>
        <v>2</v>
      </c>
      <c r="H27" s="12" t="s">
        <v>70</v>
      </c>
      <c r="I27" s="12" t="s">
        <v>69</v>
      </c>
    </row>
    <row r="28" spans="2:9" x14ac:dyDescent="0.2">
      <c r="B28" s="13" t="s">
        <v>24</v>
      </c>
      <c r="C28" s="7" t="s">
        <v>38</v>
      </c>
      <c r="D28" s="7" t="s">
        <v>39</v>
      </c>
      <c r="E28" s="7">
        <f t="shared" si="0"/>
        <v>2</v>
      </c>
      <c r="F28" s="7">
        <f t="shared" si="1"/>
        <v>3</v>
      </c>
      <c r="G28" s="7">
        <f t="shared" si="2"/>
        <v>6</v>
      </c>
      <c r="H28" s="11"/>
      <c r="I28" s="11"/>
    </row>
    <row r="29" spans="2:9" x14ac:dyDescent="0.2">
      <c r="B29" s="13" t="s">
        <v>47</v>
      </c>
      <c r="C29" s="7" t="s">
        <v>39</v>
      </c>
      <c r="D29" s="7" t="s">
        <v>39</v>
      </c>
      <c r="E29" s="7">
        <f t="shared" si="0"/>
        <v>1</v>
      </c>
      <c r="F29" s="7">
        <f t="shared" si="1"/>
        <v>3</v>
      </c>
      <c r="G29" s="7">
        <f t="shared" si="2"/>
        <v>3</v>
      </c>
      <c r="H29" s="11"/>
      <c r="I29" s="11"/>
    </row>
    <row r="30" spans="2:9" x14ac:dyDescent="0.2">
      <c r="B30" s="13" t="s">
        <v>25</v>
      </c>
      <c r="C30" s="7" t="s">
        <v>39</v>
      </c>
      <c r="D30" s="7" t="s">
        <v>39</v>
      </c>
      <c r="E30" s="7">
        <f t="shared" si="0"/>
        <v>1</v>
      </c>
      <c r="F30" s="7">
        <f t="shared" si="1"/>
        <v>3</v>
      </c>
      <c r="G30" s="7">
        <f t="shared" si="2"/>
        <v>3</v>
      </c>
      <c r="H30" s="11"/>
      <c r="I30" s="11"/>
    </row>
    <row r="31" spans="2:9" x14ac:dyDescent="0.2">
      <c r="B31" s="13" t="s">
        <v>26</v>
      </c>
      <c r="C31" s="7" t="s">
        <v>38</v>
      </c>
      <c r="D31" s="7" t="s">
        <v>39</v>
      </c>
      <c r="E31" s="7">
        <f t="shared" si="0"/>
        <v>2</v>
      </c>
      <c r="F31" s="7">
        <f t="shared" si="1"/>
        <v>3</v>
      </c>
      <c r="G31" s="7">
        <f t="shared" si="2"/>
        <v>6</v>
      </c>
      <c r="H31" s="11"/>
      <c r="I31" s="11"/>
    </row>
    <row r="32" spans="2:9" ht="35" customHeight="1" x14ac:dyDescent="0.2">
      <c r="B32" s="13" t="s">
        <v>27</v>
      </c>
      <c r="C32" s="7" t="s">
        <v>39</v>
      </c>
      <c r="D32" s="7" t="s">
        <v>38</v>
      </c>
      <c r="E32" s="7">
        <f t="shared" si="0"/>
        <v>1</v>
      </c>
      <c r="F32" s="7">
        <f t="shared" si="1"/>
        <v>2</v>
      </c>
      <c r="G32" s="7">
        <f t="shared" si="2"/>
        <v>2</v>
      </c>
      <c r="H32" s="12" t="s">
        <v>63</v>
      </c>
      <c r="I32" s="12" t="s">
        <v>62</v>
      </c>
    </row>
    <row r="33" spans="2:9" ht="35" customHeight="1" x14ac:dyDescent="0.2">
      <c r="B33" s="13" t="s">
        <v>28</v>
      </c>
      <c r="C33" s="7" t="s">
        <v>39</v>
      </c>
      <c r="D33" s="7" t="s">
        <v>38</v>
      </c>
      <c r="E33" s="7">
        <f t="shared" si="0"/>
        <v>1</v>
      </c>
      <c r="F33" s="7">
        <f t="shared" si="1"/>
        <v>2</v>
      </c>
      <c r="G33" s="7">
        <f t="shared" si="2"/>
        <v>2</v>
      </c>
      <c r="H33" s="12" t="s">
        <v>68</v>
      </c>
      <c r="I33" s="12" t="s">
        <v>64</v>
      </c>
    </row>
    <row r="34" spans="2:9" x14ac:dyDescent="0.2">
      <c r="B34" s="13" t="s">
        <v>29</v>
      </c>
      <c r="C34" s="7" t="s">
        <v>37</v>
      </c>
      <c r="D34" s="7" t="s">
        <v>50</v>
      </c>
      <c r="E34" s="7">
        <f t="shared" si="0"/>
        <v>3</v>
      </c>
      <c r="F34" s="7" t="str">
        <f t="shared" si="1"/>
        <v>0</v>
      </c>
      <c r="G34" s="7">
        <f t="shared" si="2"/>
        <v>0</v>
      </c>
      <c r="H34" s="11"/>
      <c r="I34" s="11"/>
    </row>
    <row r="35" spans="2:9" x14ac:dyDescent="0.2">
      <c r="B35" s="13"/>
      <c r="C35" s="7"/>
      <c r="D35" s="7"/>
      <c r="E35" s="7" t="str">
        <f t="shared" si="0"/>
        <v>0</v>
      </c>
      <c r="F35" s="7" t="str">
        <f t="shared" si="1"/>
        <v>0</v>
      </c>
      <c r="G35" s="7">
        <f t="shared" si="2"/>
        <v>0</v>
      </c>
      <c r="H35" s="11"/>
      <c r="I35" s="11"/>
    </row>
    <row r="36" spans="2:9" x14ac:dyDescent="0.2">
      <c r="B36" s="13" t="s">
        <v>30</v>
      </c>
      <c r="C36" s="7"/>
      <c r="D36" s="7"/>
      <c r="E36" s="7" t="str">
        <f t="shared" si="0"/>
        <v>0</v>
      </c>
      <c r="F36" s="7" t="str">
        <f t="shared" si="1"/>
        <v>0</v>
      </c>
      <c r="G36" s="7">
        <f t="shared" si="2"/>
        <v>0</v>
      </c>
      <c r="H36" s="11"/>
      <c r="I36" s="11"/>
    </row>
    <row r="37" spans="2:9" x14ac:dyDescent="0.2">
      <c r="B37" s="15">
        <v>1</v>
      </c>
      <c r="C37" s="7" t="s">
        <v>39</v>
      </c>
      <c r="D37" s="7" t="s">
        <v>37</v>
      </c>
      <c r="E37" s="7">
        <f t="shared" si="0"/>
        <v>1</v>
      </c>
      <c r="F37" s="7">
        <f t="shared" si="1"/>
        <v>1</v>
      </c>
      <c r="G37" s="7">
        <f t="shared" si="2"/>
        <v>1</v>
      </c>
      <c r="H37" s="11"/>
      <c r="I37" s="11"/>
    </row>
    <row r="38" spans="2:9" x14ac:dyDescent="0.2">
      <c r="B38" s="16" t="s">
        <v>60</v>
      </c>
      <c r="C38" s="7"/>
      <c r="D38" s="7"/>
      <c r="E38" s="7" t="str">
        <f t="shared" si="0"/>
        <v>0</v>
      </c>
      <c r="F38" s="7" t="str">
        <f t="shared" si="1"/>
        <v>0</v>
      </c>
      <c r="G38" s="7">
        <f t="shared" si="2"/>
        <v>0</v>
      </c>
      <c r="H38" s="11"/>
      <c r="I38" s="11"/>
    </row>
    <row r="39" spans="2:9" x14ac:dyDescent="0.2">
      <c r="B39" s="16">
        <v>3</v>
      </c>
      <c r="C39" s="7"/>
      <c r="D39" s="7"/>
      <c r="E39" s="7" t="str">
        <f t="shared" si="0"/>
        <v>0</v>
      </c>
      <c r="F39" s="7" t="str">
        <f t="shared" si="1"/>
        <v>0</v>
      </c>
      <c r="G39" s="7">
        <f t="shared" si="2"/>
        <v>0</v>
      </c>
      <c r="H39" s="11"/>
      <c r="I39" s="11"/>
    </row>
    <row r="40" spans="2:9" x14ac:dyDescent="0.2">
      <c r="B40" s="16">
        <v>4</v>
      </c>
      <c r="C40" s="7"/>
      <c r="D40" s="7"/>
      <c r="E40" s="7" t="str">
        <f t="shared" si="0"/>
        <v>0</v>
      </c>
      <c r="F40" s="7" t="str">
        <f t="shared" si="1"/>
        <v>0</v>
      </c>
      <c r="G40" s="7">
        <f t="shared" si="2"/>
        <v>0</v>
      </c>
      <c r="H40" s="11"/>
      <c r="I40" s="11"/>
    </row>
    <row r="41" spans="2:9" x14ac:dyDescent="0.2">
      <c r="B41" s="16">
        <v>5</v>
      </c>
      <c r="C41" s="7"/>
      <c r="D41" s="7"/>
      <c r="E41" s="7" t="str">
        <f t="shared" si="0"/>
        <v>0</v>
      </c>
      <c r="F41" s="7" t="str">
        <f t="shared" si="1"/>
        <v>0</v>
      </c>
      <c r="G41" s="7">
        <f t="shared" si="2"/>
        <v>0</v>
      </c>
      <c r="H41" s="11"/>
      <c r="I41" s="11"/>
    </row>
  </sheetData>
  <pageMargins left="0.7" right="0.7" top="0.75" bottom="0.75" header="0.3" footer="0.3"/>
  <ignoredErrors>
    <ignoredError sqref="B38" numberStoredAsText="1"/>
  </ignoredErrors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D05B05AE-846D-4407-BC57-8EE22B7360C8}">
          <x14:formula1>
            <xm:f>Sheet2!$B$2:$B$4</xm:f>
          </x14:formula1>
          <xm:sqref>C3:C41</xm:sqref>
        </x14:dataValidation>
        <x14:dataValidation type="list" allowBlank="1" showInputMessage="1" showErrorMessage="1" xr:uid="{B66817B6-DB33-4C77-8A50-8E77E6368EA1}">
          <x14:formula1>
            <xm:f>Sheet2!$B$2:$B$5</xm:f>
          </x14:formula1>
          <xm:sqref>D3:D41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93081-7C8E-436F-94F3-0ECADC4F40F6}">
  <dimension ref="B1:I45"/>
  <sheetViews>
    <sheetView zoomScale="150" workbookViewId="0">
      <pane xSplit="2" ySplit="6" topLeftCell="H26" activePane="bottomRight" state="frozen"/>
      <selection pane="topRight" activeCell="C1" sqref="C1"/>
      <selection pane="bottomLeft" activeCell="A7" sqref="A7"/>
      <selection pane="bottomRight" activeCell="G25" sqref="G25"/>
    </sheetView>
  </sheetViews>
  <sheetFormatPr baseColWidth="10" defaultColWidth="8.83203125" defaultRowHeight="15" x14ac:dyDescent="0.2"/>
  <cols>
    <col min="2" max="2" width="55.6640625" customWidth="1"/>
    <col min="3" max="4" width="11.5" customWidth="1"/>
    <col min="5" max="6" width="11.5" style="6" customWidth="1"/>
    <col min="7" max="7" width="9.1640625" style="6"/>
    <col min="8" max="8" width="32.1640625" customWidth="1"/>
    <col min="9" max="9" width="71" customWidth="1"/>
  </cols>
  <sheetData>
    <row r="1" spans="2:9" x14ac:dyDescent="0.2">
      <c r="B1" t="s">
        <v>48</v>
      </c>
    </row>
    <row r="2" spans="2:9" x14ac:dyDescent="0.2">
      <c r="B2" t="s">
        <v>49</v>
      </c>
    </row>
    <row r="6" spans="2:9" ht="64" x14ac:dyDescent="0.2">
      <c r="B6" s="8" t="s">
        <v>0</v>
      </c>
      <c r="C6" s="5" t="s">
        <v>40</v>
      </c>
      <c r="D6" s="5" t="s">
        <v>42</v>
      </c>
      <c r="E6" s="5" t="s">
        <v>41</v>
      </c>
      <c r="F6" s="5" t="s">
        <v>43</v>
      </c>
      <c r="G6" s="5" t="s">
        <v>1</v>
      </c>
      <c r="H6" s="5" t="s">
        <v>2</v>
      </c>
      <c r="I6" s="5" t="s">
        <v>3</v>
      </c>
    </row>
    <row r="7" spans="2:9" x14ac:dyDescent="0.2">
      <c r="B7" s="2" t="s">
        <v>5</v>
      </c>
      <c r="C7" s="1" t="s">
        <v>37</v>
      </c>
      <c r="D7" s="1" t="s">
        <v>50</v>
      </c>
      <c r="E7" s="7">
        <f t="shared" ref="E7:E45" si="0">IF(C7="low",3,(IF(C7="medium",2,(IF(C7="high",1,"0")))))</f>
        <v>3</v>
      </c>
      <c r="F7" s="7" t="str">
        <f t="shared" ref="F7:F45" si="1">IF(D7="low",1,(IF(D7="medium",2,(IF(D7="high",3,"0")))))</f>
        <v>0</v>
      </c>
      <c r="G7" s="7">
        <f t="shared" ref="G7:G45" si="2">E7*F7</f>
        <v>0</v>
      </c>
      <c r="H7" s="1"/>
      <c r="I7" s="1"/>
    </row>
    <row r="8" spans="2:9" x14ac:dyDescent="0.2">
      <c r="B8" s="2" t="s">
        <v>7</v>
      </c>
      <c r="C8" s="1" t="s">
        <v>37</v>
      </c>
      <c r="D8" s="1" t="s">
        <v>50</v>
      </c>
      <c r="E8" s="7">
        <f t="shared" si="0"/>
        <v>3</v>
      </c>
      <c r="F8" s="7" t="str">
        <f t="shared" si="1"/>
        <v>0</v>
      </c>
      <c r="G8" s="7">
        <f t="shared" si="2"/>
        <v>0</v>
      </c>
      <c r="H8" s="1"/>
      <c r="I8" s="1"/>
    </row>
    <row r="9" spans="2:9" x14ac:dyDescent="0.2">
      <c r="B9" s="2" t="s">
        <v>9</v>
      </c>
      <c r="C9" s="1" t="s">
        <v>37</v>
      </c>
      <c r="D9" s="1" t="s">
        <v>50</v>
      </c>
      <c r="E9" s="7">
        <f t="shared" si="0"/>
        <v>3</v>
      </c>
      <c r="F9" s="7" t="str">
        <f t="shared" si="1"/>
        <v>0</v>
      </c>
      <c r="G9" s="7">
        <f t="shared" si="2"/>
        <v>0</v>
      </c>
      <c r="H9" s="1"/>
      <c r="I9" s="1"/>
    </row>
    <row r="10" spans="2:9" x14ac:dyDescent="0.2">
      <c r="B10" s="2" t="s">
        <v>10</v>
      </c>
      <c r="C10" s="1" t="s">
        <v>37</v>
      </c>
      <c r="D10" s="1" t="s">
        <v>50</v>
      </c>
      <c r="E10" s="7">
        <f t="shared" si="0"/>
        <v>3</v>
      </c>
      <c r="F10" s="7" t="str">
        <f t="shared" si="1"/>
        <v>0</v>
      </c>
      <c r="G10" s="7">
        <f t="shared" si="2"/>
        <v>0</v>
      </c>
      <c r="H10" s="1"/>
      <c r="I10" s="1"/>
    </row>
    <row r="11" spans="2:9" x14ac:dyDescent="0.2">
      <c r="B11" s="2" t="s">
        <v>12</v>
      </c>
      <c r="C11" s="1" t="s">
        <v>37</v>
      </c>
      <c r="D11" s="1" t="s">
        <v>50</v>
      </c>
      <c r="E11" s="7">
        <f t="shared" si="0"/>
        <v>3</v>
      </c>
      <c r="F11" s="7" t="str">
        <f t="shared" si="1"/>
        <v>0</v>
      </c>
      <c r="G11" s="7">
        <f t="shared" si="2"/>
        <v>0</v>
      </c>
      <c r="H11" s="1"/>
      <c r="I11" s="1"/>
    </row>
    <row r="12" spans="2:9" x14ac:dyDescent="0.2">
      <c r="B12" s="2" t="s">
        <v>19</v>
      </c>
      <c r="C12" s="1" t="s">
        <v>37</v>
      </c>
      <c r="D12" s="1" t="s">
        <v>50</v>
      </c>
      <c r="E12" s="7">
        <f t="shared" si="0"/>
        <v>3</v>
      </c>
      <c r="F12" s="7" t="str">
        <f t="shared" si="1"/>
        <v>0</v>
      </c>
      <c r="G12" s="7">
        <f t="shared" si="2"/>
        <v>0</v>
      </c>
      <c r="H12" s="1"/>
      <c r="I12" s="1"/>
    </row>
    <row r="13" spans="2:9" x14ac:dyDescent="0.2">
      <c r="B13" s="2" t="s">
        <v>21</v>
      </c>
      <c r="C13" s="1" t="s">
        <v>37</v>
      </c>
      <c r="D13" s="1" t="s">
        <v>50</v>
      </c>
      <c r="E13" s="7">
        <f t="shared" si="0"/>
        <v>3</v>
      </c>
      <c r="F13" s="7" t="str">
        <f t="shared" si="1"/>
        <v>0</v>
      </c>
      <c r="G13" s="7">
        <f t="shared" si="2"/>
        <v>0</v>
      </c>
      <c r="H13" s="1"/>
      <c r="I13" s="1"/>
    </row>
    <row r="14" spans="2:9" x14ac:dyDescent="0.2">
      <c r="B14" s="2" t="s">
        <v>14</v>
      </c>
      <c r="C14" s="1" t="s">
        <v>37</v>
      </c>
      <c r="D14" s="1" t="s">
        <v>50</v>
      </c>
      <c r="E14" s="7">
        <f t="shared" si="0"/>
        <v>3</v>
      </c>
      <c r="F14" s="7" t="str">
        <f t="shared" si="1"/>
        <v>0</v>
      </c>
      <c r="G14" s="7">
        <f t="shared" si="2"/>
        <v>0</v>
      </c>
      <c r="H14" s="1"/>
      <c r="I14" s="1"/>
    </row>
    <row r="15" spans="2:9" x14ac:dyDescent="0.2">
      <c r="B15" s="2" t="s">
        <v>33</v>
      </c>
      <c r="C15" s="1" t="s">
        <v>37</v>
      </c>
      <c r="D15" s="1" t="s">
        <v>50</v>
      </c>
      <c r="E15" s="7">
        <f t="shared" si="0"/>
        <v>3</v>
      </c>
      <c r="F15" s="7" t="str">
        <f t="shared" si="1"/>
        <v>0</v>
      </c>
      <c r="G15" s="7">
        <f t="shared" si="2"/>
        <v>0</v>
      </c>
      <c r="H15" s="1"/>
      <c r="I15" s="1"/>
    </row>
    <row r="16" spans="2:9" x14ac:dyDescent="0.2">
      <c r="B16" s="2" t="s">
        <v>18</v>
      </c>
      <c r="C16" s="1" t="s">
        <v>37</v>
      </c>
      <c r="D16" s="1" t="s">
        <v>50</v>
      </c>
      <c r="E16" s="7">
        <f t="shared" si="0"/>
        <v>3</v>
      </c>
      <c r="F16" s="7" t="str">
        <f t="shared" si="1"/>
        <v>0</v>
      </c>
      <c r="G16" s="7">
        <f t="shared" si="2"/>
        <v>0</v>
      </c>
      <c r="H16" s="1"/>
      <c r="I16" s="1"/>
    </row>
    <row r="17" spans="2:9" x14ac:dyDescent="0.2">
      <c r="B17" s="2" t="s">
        <v>22</v>
      </c>
      <c r="C17" s="1" t="s">
        <v>37</v>
      </c>
      <c r="D17" s="1" t="s">
        <v>50</v>
      </c>
      <c r="E17" s="7">
        <f t="shared" si="0"/>
        <v>3</v>
      </c>
      <c r="F17" s="7" t="str">
        <f t="shared" si="1"/>
        <v>0</v>
      </c>
      <c r="G17" s="7">
        <f t="shared" si="2"/>
        <v>0</v>
      </c>
      <c r="H17" s="1"/>
      <c r="I17" s="1"/>
    </row>
    <row r="18" spans="2:9" x14ac:dyDescent="0.2">
      <c r="B18" s="2" t="s">
        <v>34</v>
      </c>
      <c r="C18" s="1" t="s">
        <v>37</v>
      </c>
      <c r="D18" s="1" t="s">
        <v>50</v>
      </c>
      <c r="E18" s="7">
        <f t="shared" si="0"/>
        <v>3</v>
      </c>
      <c r="F18" s="7" t="str">
        <f t="shared" si="1"/>
        <v>0</v>
      </c>
      <c r="G18" s="7">
        <f t="shared" si="2"/>
        <v>0</v>
      </c>
      <c r="H18" s="1"/>
      <c r="I18" s="1"/>
    </row>
    <row r="19" spans="2:9" x14ac:dyDescent="0.2">
      <c r="B19" s="2" t="s">
        <v>24</v>
      </c>
      <c r="C19" s="1" t="s">
        <v>37</v>
      </c>
      <c r="D19" s="1" t="s">
        <v>50</v>
      </c>
      <c r="E19" s="7">
        <f t="shared" si="0"/>
        <v>3</v>
      </c>
      <c r="F19" s="7" t="str">
        <f t="shared" si="1"/>
        <v>0</v>
      </c>
      <c r="G19" s="7">
        <f t="shared" si="2"/>
        <v>0</v>
      </c>
      <c r="H19" s="1"/>
      <c r="I19" s="1"/>
    </row>
    <row r="20" spans="2:9" x14ac:dyDescent="0.2">
      <c r="B20" s="2" t="s">
        <v>29</v>
      </c>
      <c r="C20" s="1" t="s">
        <v>37</v>
      </c>
      <c r="D20" s="1" t="s">
        <v>50</v>
      </c>
      <c r="E20" s="7">
        <f t="shared" si="0"/>
        <v>3</v>
      </c>
      <c r="F20" s="7" t="str">
        <f t="shared" si="1"/>
        <v>0</v>
      </c>
      <c r="G20" s="7">
        <f t="shared" si="2"/>
        <v>0</v>
      </c>
      <c r="H20" s="1"/>
      <c r="I20" s="1"/>
    </row>
    <row r="21" spans="2:9" x14ac:dyDescent="0.2">
      <c r="B21" s="2"/>
      <c r="C21" s="1"/>
      <c r="D21" s="1"/>
      <c r="E21" s="7" t="str">
        <f t="shared" si="0"/>
        <v>0</v>
      </c>
      <c r="F21" s="7" t="str">
        <f t="shared" si="1"/>
        <v>0</v>
      </c>
      <c r="G21" s="7">
        <f t="shared" si="2"/>
        <v>0</v>
      </c>
      <c r="H21" s="1"/>
      <c r="I21" s="1"/>
    </row>
    <row r="22" spans="2:9" x14ac:dyDescent="0.2">
      <c r="B22" s="2" t="s">
        <v>30</v>
      </c>
      <c r="C22" s="1"/>
      <c r="D22" s="1"/>
      <c r="E22" s="7" t="str">
        <f t="shared" si="0"/>
        <v>0</v>
      </c>
      <c r="F22" s="7" t="str">
        <f t="shared" si="1"/>
        <v>0</v>
      </c>
      <c r="G22" s="7">
        <f t="shared" si="2"/>
        <v>0</v>
      </c>
      <c r="H22" s="1"/>
      <c r="I22" s="1"/>
    </row>
    <row r="23" spans="2:9" x14ac:dyDescent="0.2">
      <c r="B23" s="4" t="s">
        <v>31</v>
      </c>
      <c r="C23" s="1"/>
      <c r="D23" s="1"/>
      <c r="E23" s="7" t="str">
        <f t="shared" si="0"/>
        <v>0</v>
      </c>
      <c r="F23" s="7" t="str">
        <f t="shared" si="1"/>
        <v>0</v>
      </c>
      <c r="G23" s="7">
        <f t="shared" si="2"/>
        <v>0</v>
      </c>
      <c r="H23" s="1"/>
      <c r="I23" s="1"/>
    </row>
    <row r="24" spans="2:9" x14ac:dyDescent="0.2">
      <c r="B24" s="4" t="s">
        <v>32</v>
      </c>
      <c r="C24" s="1"/>
      <c r="D24" s="1"/>
      <c r="E24" s="7" t="str">
        <f t="shared" si="0"/>
        <v>0</v>
      </c>
      <c r="F24" s="7" t="str">
        <f t="shared" si="1"/>
        <v>0</v>
      </c>
      <c r="G24" s="7">
        <f t="shared" si="2"/>
        <v>0</v>
      </c>
      <c r="H24" s="1"/>
      <c r="I24" s="1"/>
    </row>
    <row r="25" spans="2:9" x14ac:dyDescent="0.2">
      <c r="B25" s="4">
        <v>3</v>
      </c>
      <c r="C25" s="1"/>
      <c r="D25" s="1"/>
      <c r="E25" s="7" t="str">
        <f t="shared" si="0"/>
        <v>0</v>
      </c>
      <c r="F25" s="7" t="str">
        <f t="shared" si="1"/>
        <v>0</v>
      </c>
      <c r="G25" s="7">
        <f t="shared" si="2"/>
        <v>0</v>
      </c>
      <c r="H25" s="1"/>
      <c r="I25" s="1"/>
    </row>
    <row r="26" spans="2:9" x14ac:dyDescent="0.2">
      <c r="B26" s="4">
        <v>4</v>
      </c>
      <c r="C26" s="1"/>
      <c r="D26" s="1"/>
      <c r="E26" s="7" t="str">
        <f t="shared" si="0"/>
        <v>0</v>
      </c>
      <c r="F26" s="7" t="str">
        <f t="shared" si="1"/>
        <v>0</v>
      </c>
      <c r="G26" s="7">
        <f t="shared" si="2"/>
        <v>0</v>
      </c>
      <c r="H26" s="1"/>
      <c r="I26" s="1"/>
    </row>
    <row r="27" spans="2:9" x14ac:dyDescent="0.2">
      <c r="B27" s="4">
        <v>5</v>
      </c>
      <c r="C27" s="1"/>
      <c r="D27" s="1"/>
      <c r="E27" s="7" t="str">
        <f t="shared" si="0"/>
        <v>0</v>
      </c>
      <c r="F27" s="7" t="str">
        <f t="shared" si="1"/>
        <v>0</v>
      </c>
      <c r="G27" s="7">
        <f t="shared" si="2"/>
        <v>0</v>
      </c>
      <c r="H27" s="1"/>
      <c r="I27" s="1"/>
    </row>
    <row r="28" spans="2:9" ht="32" x14ac:dyDescent="0.2">
      <c r="B28" s="2" t="s">
        <v>36</v>
      </c>
      <c r="C28" s="1" t="s">
        <v>39</v>
      </c>
      <c r="D28" s="1" t="s">
        <v>37</v>
      </c>
      <c r="E28" s="7">
        <f t="shared" si="0"/>
        <v>1</v>
      </c>
      <c r="F28" s="7">
        <f t="shared" si="1"/>
        <v>1</v>
      </c>
      <c r="G28" s="7">
        <f t="shared" si="2"/>
        <v>1</v>
      </c>
      <c r="H28" s="12" t="s">
        <v>53</v>
      </c>
      <c r="I28" s="12" t="s">
        <v>51</v>
      </c>
    </row>
    <row r="29" spans="2:9" ht="32" x14ac:dyDescent="0.2">
      <c r="B29" s="2" t="s">
        <v>35</v>
      </c>
      <c r="C29" s="1" t="s">
        <v>39</v>
      </c>
      <c r="D29" s="1" t="s">
        <v>37</v>
      </c>
      <c r="E29" s="7">
        <f t="shared" si="0"/>
        <v>1</v>
      </c>
      <c r="F29" s="7">
        <f t="shared" si="1"/>
        <v>1</v>
      </c>
      <c r="G29" s="7">
        <f t="shared" si="2"/>
        <v>1</v>
      </c>
      <c r="H29" s="12" t="s">
        <v>52</v>
      </c>
      <c r="I29" s="12" t="s">
        <v>51</v>
      </c>
    </row>
    <row r="30" spans="2:9" ht="48" x14ac:dyDescent="0.2">
      <c r="B30" s="2" t="s">
        <v>26</v>
      </c>
      <c r="C30" s="1" t="s">
        <v>39</v>
      </c>
      <c r="D30" s="1" t="s">
        <v>37</v>
      </c>
      <c r="E30" s="7">
        <f t="shared" si="0"/>
        <v>1</v>
      </c>
      <c r="F30" s="7">
        <f t="shared" si="1"/>
        <v>1</v>
      </c>
      <c r="G30" s="7">
        <f t="shared" si="2"/>
        <v>1</v>
      </c>
      <c r="H30" s="12" t="s">
        <v>54</v>
      </c>
      <c r="I30" s="12" t="s">
        <v>55</v>
      </c>
    </row>
    <row r="31" spans="2:9" x14ac:dyDescent="0.2">
      <c r="B31" s="2" t="s">
        <v>44</v>
      </c>
      <c r="C31" s="1" t="s">
        <v>38</v>
      </c>
      <c r="D31" s="1" t="s">
        <v>37</v>
      </c>
      <c r="E31" s="7">
        <f t="shared" si="0"/>
        <v>2</v>
      </c>
      <c r="F31" s="7">
        <f t="shared" si="1"/>
        <v>1</v>
      </c>
      <c r="G31" s="7">
        <f t="shared" si="2"/>
        <v>2</v>
      </c>
      <c r="H31" s="11"/>
      <c r="I31" s="11"/>
    </row>
    <row r="32" spans="2:9" x14ac:dyDescent="0.2">
      <c r="B32" s="2" t="s">
        <v>8</v>
      </c>
      <c r="C32" s="1" t="s">
        <v>38</v>
      </c>
      <c r="D32" s="1" t="s">
        <v>37</v>
      </c>
      <c r="E32" s="7">
        <f t="shared" si="0"/>
        <v>2</v>
      </c>
      <c r="F32" s="7">
        <f t="shared" si="1"/>
        <v>1</v>
      </c>
      <c r="G32" s="7">
        <f t="shared" si="2"/>
        <v>2</v>
      </c>
      <c r="H32" s="11"/>
      <c r="I32" s="11"/>
    </row>
    <row r="33" spans="2:9" x14ac:dyDescent="0.2">
      <c r="B33" s="2" t="s">
        <v>11</v>
      </c>
      <c r="C33" s="1" t="s">
        <v>38</v>
      </c>
      <c r="D33" s="1" t="s">
        <v>37</v>
      </c>
      <c r="E33" s="7">
        <f t="shared" si="0"/>
        <v>2</v>
      </c>
      <c r="F33" s="7">
        <f t="shared" si="1"/>
        <v>1</v>
      </c>
      <c r="G33" s="7">
        <f t="shared" si="2"/>
        <v>2</v>
      </c>
      <c r="H33" s="11"/>
      <c r="I33" s="11"/>
    </row>
    <row r="34" spans="2:9" ht="48" x14ac:dyDescent="0.2">
      <c r="B34" s="3" t="s">
        <v>13</v>
      </c>
      <c r="C34" s="1" t="s">
        <v>39</v>
      </c>
      <c r="D34" s="1" t="s">
        <v>38</v>
      </c>
      <c r="E34" s="7">
        <f t="shared" si="0"/>
        <v>1</v>
      </c>
      <c r="F34" s="7">
        <f t="shared" si="1"/>
        <v>2</v>
      </c>
      <c r="G34" s="7">
        <f t="shared" si="2"/>
        <v>2</v>
      </c>
      <c r="H34" s="12" t="s">
        <v>56</v>
      </c>
      <c r="I34" s="12" t="s">
        <v>57</v>
      </c>
    </row>
    <row r="35" spans="2:9" ht="32" x14ac:dyDescent="0.2">
      <c r="B35" s="3" t="s">
        <v>45</v>
      </c>
      <c r="C35" s="1" t="s">
        <v>39</v>
      </c>
      <c r="D35" s="1" t="s">
        <v>38</v>
      </c>
      <c r="E35" s="7">
        <f t="shared" si="0"/>
        <v>1</v>
      </c>
      <c r="F35" s="7">
        <f t="shared" si="1"/>
        <v>2</v>
      </c>
      <c r="G35" s="7">
        <f t="shared" si="2"/>
        <v>2</v>
      </c>
      <c r="H35" s="12" t="s">
        <v>58</v>
      </c>
      <c r="I35" s="12" t="s">
        <v>59</v>
      </c>
    </row>
    <row r="36" spans="2:9" x14ac:dyDescent="0.2">
      <c r="B36" s="2" t="s">
        <v>16</v>
      </c>
      <c r="C36" s="1" t="s">
        <v>39</v>
      </c>
      <c r="D36" s="1" t="s">
        <v>38</v>
      </c>
      <c r="E36" s="7">
        <f t="shared" si="0"/>
        <v>1</v>
      </c>
      <c r="F36" s="7">
        <f t="shared" si="1"/>
        <v>2</v>
      </c>
      <c r="G36" s="7">
        <f t="shared" si="2"/>
        <v>2</v>
      </c>
      <c r="H36" s="1"/>
      <c r="I36" s="1"/>
    </row>
    <row r="37" spans="2:9" x14ac:dyDescent="0.2">
      <c r="B37" s="2" t="s">
        <v>17</v>
      </c>
      <c r="C37" s="1" t="s">
        <v>38</v>
      </c>
      <c r="D37" s="1" t="s">
        <v>37</v>
      </c>
      <c r="E37" s="7">
        <f t="shared" si="0"/>
        <v>2</v>
      </c>
      <c r="F37" s="7">
        <f t="shared" si="1"/>
        <v>1</v>
      </c>
      <c r="G37" s="7">
        <f t="shared" si="2"/>
        <v>2</v>
      </c>
      <c r="H37" s="1"/>
      <c r="I37" s="1"/>
    </row>
    <row r="38" spans="2:9" x14ac:dyDescent="0.2">
      <c r="B38" s="2" t="s">
        <v>4</v>
      </c>
      <c r="C38" s="1" t="s">
        <v>38</v>
      </c>
      <c r="D38" s="1" t="s">
        <v>38</v>
      </c>
      <c r="E38" s="7">
        <f t="shared" si="0"/>
        <v>2</v>
      </c>
      <c r="F38" s="7">
        <f t="shared" si="1"/>
        <v>2</v>
      </c>
      <c r="G38" s="7">
        <f t="shared" si="2"/>
        <v>4</v>
      </c>
      <c r="H38" s="1"/>
      <c r="I38" s="1"/>
    </row>
    <row r="39" spans="2:9" x14ac:dyDescent="0.2">
      <c r="B39" s="2" t="s">
        <v>20</v>
      </c>
      <c r="C39" s="1" t="s">
        <v>38</v>
      </c>
      <c r="D39" s="1" t="s">
        <v>38</v>
      </c>
      <c r="E39" s="7">
        <f t="shared" si="0"/>
        <v>2</v>
      </c>
      <c r="F39" s="7">
        <f t="shared" si="1"/>
        <v>2</v>
      </c>
      <c r="G39" s="7">
        <f t="shared" si="2"/>
        <v>4</v>
      </c>
      <c r="H39" s="1"/>
      <c r="I39" s="1"/>
    </row>
    <row r="40" spans="2:9" x14ac:dyDescent="0.2">
      <c r="B40" s="2" t="s">
        <v>15</v>
      </c>
      <c r="C40" s="1" t="s">
        <v>38</v>
      </c>
      <c r="D40" s="1" t="s">
        <v>38</v>
      </c>
      <c r="E40" s="7">
        <f t="shared" si="0"/>
        <v>2</v>
      </c>
      <c r="F40" s="7">
        <f t="shared" si="1"/>
        <v>2</v>
      </c>
      <c r="G40" s="7">
        <f t="shared" si="2"/>
        <v>4</v>
      </c>
      <c r="H40" s="1"/>
      <c r="I40" s="1"/>
    </row>
    <row r="41" spans="2:9" x14ac:dyDescent="0.2">
      <c r="B41" s="2" t="s">
        <v>23</v>
      </c>
      <c r="C41" s="1" t="s">
        <v>38</v>
      </c>
      <c r="D41" s="1" t="s">
        <v>38</v>
      </c>
      <c r="E41" s="7">
        <f t="shared" si="0"/>
        <v>2</v>
      </c>
      <c r="F41" s="7">
        <f t="shared" si="1"/>
        <v>2</v>
      </c>
      <c r="G41" s="7">
        <f t="shared" si="2"/>
        <v>4</v>
      </c>
      <c r="H41" s="1"/>
      <c r="I41" s="1"/>
    </row>
    <row r="42" spans="2:9" x14ac:dyDescent="0.2">
      <c r="B42" s="2" t="s">
        <v>47</v>
      </c>
      <c r="C42" s="1" t="s">
        <v>38</v>
      </c>
      <c r="D42" s="1" t="s">
        <v>38</v>
      </c>
      <c r="E42" s="7">
        <f t="shared" si="0"/>
        <v>2</v>
      </c>
      <c r="F42" s="7">
        <f t="shared" si="1"/>
        <v>2</v>
      </c>
      <c r="G42" s="7">
        <f t="shared" si="2"/>
        <v>4</v>
      </c>
      <c r="H42" s="1"/>
      <c r="I42" s="1"/>
    </row>
    <row r="43" spans="2:9" x14ac:dyDescent="0.2">
      <c r="B43" s="2" t="s">
        <v>25</v>
      </c>
      <c r="C43" s="1" t="s">
        <v>38</v>
      </c>
      <c r="D43" s="1" t="s">
        <v>38</v>
      </c>
      <c r="E43" s="7">
        <f t="shared" si="0"/>
        <v>2</v>
      </c>
      <c r="F43" s="7">
        <f t="shared" si="1"/>
        <v>2</v>
      </c>
      <c r="G43" s="7">
        <f t="shared" si="2"/>
        <v>4</v>
      </c>
      <c r="H43" s="1"/>
      <c r="I43" s="1"/>
    </row>
    <row r="44" spans="2:9" x14ac:dyDescent="0.2">
      <c r="B44" s="2" t="s">
        <v>27</v>
      </c>
      <c r="C44" s="1" t="s">
        <v>38</v>
      </c>
      <c r="D44" s="1" t="s">
        <v>38</v>
      </c>
      <c r="E44" s="7">
        <f t="shared" si="0"/>
        <v>2</v>
      </c>
      <c r="F44" s="7">
        <f t="shared" si="1"/>
        <v>2</v>
      </c>
      <c r="G44" s="7">
        <f t="shared" si="2"/>
        <v>4</v>
      </c>
      <c r="H44" s="1"/>
      <c r="I44" s="1"/>
    </row>
    <row r="45" spans="2:9" x14ac:dyDescent="0.2">
      <c r="B45" s="2" t="s">
        <v>28</v>
      </c>
      <c r="C45" s="1" t="s">
        <v>38</v>
      </c>
      <c r="D45" s="1" t="s">
        <v>38</v>
      </c>
      <c r="E45" s="7">
        <f t="shared" si="0"/>
        <v>2</v>
      </c>
      <c r="F45" s="7">
        <f t="shared" si="1"/>
        <v>2</v>
      </c>
      <c r="G45" s="7">
        <f t="shared" si="2"/>
        <v>4</v>
      </c>
      <c r="H45" s="1"/>
      <c r="I45" s="1"/>
    </row>
  </sheetData>
  <sortState xmlns:xlrd2="http://schemas.microsoft.com/office/spreadsheetml/2017/richdata2" ref="B7:G45">
    <sortCondition ref="G7:G45"/>
  </sortState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764D229-DC3A-48D0-BFCE-1821A5379CF8}">
          <x14:formula1>
            <xm:f>Sheet2!$B$2:$B$4</xm:f>
          </x14:formula1>
          <xm:sqref>C7:C45</xm:sqref>
        </x14:dataValidation>
        <x14:dataValidation type="list" allowBlank="1" showInputMessage="1" showErrorMessage="1" xr:uid="{C579DB0F-F8CE-4554-A3DE-09D88BF72CA2}">
          <x14:formula1>
            <xm:f>Sheet2!$B$2:$B$5</xm:f>
          </x14:formula1>
          <xm:sqref>D7:D45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A62C0-57FC-4620-BD70-1A36A8E30115}">
  <dimension ref="B2:B5"/>
  <sheetViews>
    <sheetView workbookViewId="0">
      <selection activeCell="G13" sqref="G13"/>
    </sheetView>
  </sheetViews>
  <sheetFormatPr baseColWidth="10" defaultColWidth="8.83203125" defaultRowHeight="15" x14ac:dyDescent="0.2"/>
  <sheetData>
    <row r="2" spans="2:2" x14ac:dyDescent="0.2">
      <c r="B2" t="s">
        <v>37</v>
      </c>
    </row>
    <row r="3" spans="2:2" x14ac:dyDescent="0.2">
      <c r="B3" t="s">
        <v>38</v>
      </c>
    </row>
    <row r="4" spans="2:2" x14ac:dyDescent="0.2">
      <c r="B4" t="s">
        <v>39</v>
      </c>
    </row>
    <row r="5" spans="2:2" x14ac:dyDescent="0.2">
      <c r="B5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audit</vt:lpstr>
      <vt:lpstr>Example</vt:lpstr>
      <vt:lpstr>Sheet2</vt:lpstr>
    </vt:vector>
  </TitlesOfParts>
  <Company>University of Nottingham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Kathy Johnson (staff)</dc:creator>
  <cp:lastModifiedBy>Nina S</cp:lastModifiedBy>
  <dcterms:created xsi:type="dcterms:W3CDTF">2024-09-26T20:01:19Z</dcterms:created>
  <dcterms:modified xsi:type="dcterms:W3CDTF">2025-05-13T03:42:10Z</dcterms:modified>
</cp:coreProperties>
</file>